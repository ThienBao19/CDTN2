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Product backlog" sheetId="2" state="visible" r:id="rId2"/>
    <sheet xmlns:r="http://schemas.openxmlformats.org/officeDocument/2006/relationships" name="Kế hoạch sprint" sheetId="3" state="visible" r:id="rId3"/>
    <sheet xmlns:r="http://schemas.openxmlformats.org/officeDocument/2006/relationships" name="Nhật ký buổi học" sheetId="4" state="visible" r:id="rId4"/>
    <sheet xmlns:r="http://schemas.openxmlformats.org/officeDocument/2006/relationships" name="Nhật ký công việc" sheetId="5" state="visible" r:id="rId5"/>
    <sheet xmlns:r="http://schemas.openxmlformats.org/officeDocument/2006/relationships" name="Thành viên" sheetId="6" state="visible" r:id="rId6"/>
  </sheets>
  <definedNames>
    <definedName name="_xlnm._FilterDatabase" localSheetId="1" hidden="1">'Product backlog'!$A$1:$J$21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F6CBD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1" t="inlineStr">
        <is>
          <t>Quản lý dự án — Hệ thống theo dõi bệnh nhân (CDTN2)</t>
        </is>
      </c>
    </row>
    <row r="3">
      <c r="A3" s="2" t="inlineStr">
        <is>
          <t>Trạng thái</t>
        </is>
      </c>
      <c r="B3" s="2" t="inlineStr">
        <is>
          <t>Số mục</t>
        </is>
      </c>
      <c r="C3" s="2" t="inlineStr">
        <is>
          <t>Story point</t>
        </is>
      </c>
    </row>
    <row r="4">
      <c r="A4" s="3" t="inlineStr">
        <is>
          <t>Hoàn thành</t>
        </is>
      </c>
      <c r="B4" s="3">
        <f>COUNTIF('Product backlog'!$H$2:$H$71,"Hoàn thành")</f>
        <v/>
      </c>
      <c r="C4" s="3">
        <f>SUMIF('Product backlog'!$H$2:$H$71,"Hoàn thành",'Product backlog'!$F$2:$F$71)</f>
        <v/>
      </c>
    </row>
    <row r="5">
      <c r="A5" s="3" t="inlineStr">
        <is>
          <t>Đang làm</t>
        </is>
      </c>
      <c r="B5" s="3">
        <f>COUNTIF('Product backlog'!$H$2:$H$71,"Đang làm")</f>
        <v/>
      </c>
      <c r="C5" s="3">
        <f>SUMIF('Product backlog'!$H$2:$H$71,"Đang làm",'Product backlog'!$F$2:$F$71)</f>
        <v/>
      </c>
    </row>
    <row r="6">
      <c r="A6" s="3" t="inlineStr">
        <is>
          <t>Chưa làm</t>
        </is>
      </c>
      <c r="B6" s="3">
        <f>COUNTIF('Product backlog'!$H$2:$H$71,"Chưa làm")</f>
        <v/>
      </c>
      <c r="C6" s="3">
        <f>SUMIF('Product backlog'!$H$2:$H$71,"Chưa làm",'Product backlog'!$F$2:$F$71)</f>
        <v/>
      </c>
    </row>
    <row r="7">
      <c r="A7" s="2" t="inlineStr">
        <is>
          <t>Tổng</t>
        </is>
      </c>
      <c r="B7" s="2">
        <f>SUM(B4:B6)</f>
        <v/>
      </c>
      <c r="C7" s="2">
        <f>SUM(C4:C6)</f>
        <v/>
      </c>
    </row>
    <row r="8">
      <c r="A8" s="3" t="inlineStr">
        <is>
          <t>Tiến độ theo story point</t>
        </is>
      </c>
      <c r="B8" s="3" t="n"/>
      <c r="C8" s="4">
        <f>IFERROR(C4/C7,0)</f>
        <v/>
      </c>
    </row>
    <row r="9">
      <c r="A9" s="3" t="n"/>
      <c r="B9" s="3" t="n"/>
      <c r="C9" s="3" t="n"/>
    </row>
    <row r="10">
      <c r="A10" s="2" t="inlineStr">
        <is>
          <t>Sprint</t>
        </is>
      </c>
      <c r="B10" s="2" t="inlineStr">
        <is>
          <t>Số mục</t>
        </is>
      </c>
      <c r="C10" s="2" t="inlineStr">
        <is>
          <t>Story point</t>
        </is>
      </c>
    </row>
    <row r="11">
      <c r="A11" s="3" t="inlineStr">
        <is>
          <t>Sprint 1</t>
        </is>
      </c>
      <c r="B11" s="3">
        <f>COUNTIF('Product backlog'!$G$2:$G$71,"Sprint 1")</f>
        <v/>
      </c>
      <c r="C11" s="3">
        <f>SUMIF('Product backlog'!$G$2:$G$71,"Sprint 1",'Product backlog'!$F$2:$F$71)</f>
        <v/>
      </c>
    </row>
    <row r="12">
      <c r="A12" s="3" t="inlineStr">
        <is>
          <t>Sprint 1-2</t>
        </is>
      </c>
      <c r="B12" s="3">
        <f>COUNTIF('Product backlog'!$G$2:$G$71,"Sprint 1-2")</f>
        <v/>
      </c>
      <c r="C12" s="3">
        <f>SUMIF('Product backlog'!$G$2:$G$71,"Sprint 1-2",'Product backlog'!$F$2:$F$71)</f>
        <v/>
      </c>
    </row>
    <row r="13">
      <c r="A13" s="3" t="inlineStr">
        <is>
          <t>Sprint 2</t>
        </is>
      </c>
      <c r="B13" s="3">
        <f>COUNTIF('Product backlog'!$G$2:$G$71,"Sprint 2")</f>
        <v/>
      </c>
      <c r="C13" s="3">
        <f>SUMIF('Product backlog'!$G$2:$G$71,"Sprint 2",'Product backlog'!$F$2:$F$71)</f>
        <v/>
      </c>
    </row>
    <row r="14">
      <c r="A14" t="inlineStr">
        <is>
          <t>Sprint 3</t>
        </is>
      </c>
      <c r="B14">
        <f>COUNTIF('Product backlog'!$G$2:$G$71,"Sprint 3")</f>
        <v/>
      </c>
      <c r="C14">
        <f>SUMIF('Product backlog'!$G$2:$G$71,"Sprint 3",'Product backlog'!$F$2:$F$71)</f>
        <v/>
      </c>
    </row>
    <row r="15">
      <c r="A15" t="inlineStr">
        <is>
          <t>Sprint 4</t>
        </is>
      </c>
      <c r="B15">
        <f>COUNTIF('Product backlog'!$G$2:$G$71,"Sprint 4")</f>
        <v/>
      </c>
      <c r="C15">
        <f>SUMIF('Product backlog'!$G$2:$G$71,"Sprint 4",'Product backlog'!$F$2:$F$71)</f>
        <v/>
      </c>
    </row>
    <row r="16">
      <c r="A16" s="2" t="inlineStr">
        <is>
          <t>Cách dùng:</t>
        </is>
      </c>
    </row>
    <row r="17">
      <c r="A17" s="3" t="inlineStr">
        <is>
          <t>• Ô nền vàng là ô nhóm cần cập nhật (người phụ trách, trạng thái, nội dung nhật ký...).</t>
        </is>
      </c>
    </row>
    <row r="18">
      <c r="A18" s="3" t="inlineStr">
        <is>
          <t>• Trạng thái chọn từ danh sách; bảng tổng quan tự tính lại.</t>
        </is>
      </c>
    </row>
    <row r="19">
      <c r="A19" s="3" t="inlineStr">
        <is>
          <t>• Nhật ký buổi học là minh chứng chấm Rubric 2 (30%): cập nhật trong tuần, không dồn cuối kỳ.</t>
        </is>
      </c>
    </row>
    <row r="20">
      <c r="A20" s="3" t="inlineStr">
        <is>
          <t>• Nhật ký công việc: mỗi dòng một việc, ghi mã commit để đối chiếu với GitHub.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46" customWidth="1" min="3" max="3"/>
    <col width="44" customWidth="1" min="4" max="4"/>
    <col width="11" customWidth="1" min="5" max="5"/>
    <col width="8" customWidth="1" min="6" max="6"/>
    <col width="11" customWidth="1" min="7" max="7"/>
    <col width="12" customWidth="1" min="8" max="8"/>
    <col width="16" customWidth="1" min="9" max="9"/>
    <col width="16" customWidth="1" min="10" max="10"/>
  </cols>
  <sheetData>
    <row r="1">
      <c r="A1" s="5" t="inlineStr">
        <is>
          <t>ID</t>
        </is>
      </c>
      <c r="B1" s="5" t="inlineStr">
        <is>
          <t>Yêu cầu</t>
        </is>
      </c>
      <c r="C1" s="5" t="inlineStr">
        <is>
          <t>User story</t>
        </is>
      </c>
      <c r="D1" s="5" t="inlineStr">
        <is>
          <t>Tiêu chí chấp nhận</t>
        </is>
      </c>
      <c r="E1" s="5" t="inlineStr">
        <is>
          <t>Ưu tiên</t>
        </is>
      </c>
      <c r="F1" s="5" t="inlineStr">
        <is>
          <t>Story point</t>
        </is>
      </c>
      <c r="G1" s="5" t="inlineStr">
        <is>
          <t>Sprint</t>
        </is>
      </c>
      <c r="H1" s="5" t="inlineStr">
        <is>
          <t>Trạng thái</t>
        </is>
      </c>
      <c r="I1" s="5" t="inlineStr">
        <is>
          <t>Test case</t>
        </is>
      </c>
      <c r="J1" s="5" t="inlineStr">
        <is>
          <t>Người phụ trách</t>
        </is>
      </c>
    </row>
    <row r="2">
      <c r="A2" s="6" t="inlineStr">
        <is>
          <t>PB-01</t>
        </is>
      </c>
      <c r="B2" s="6" t="inlineStr">
        <is>
          <t>FR-01</t>
        </is>
      </c>
      <c r="C2" s="6" t="inlineStr">
        <is>
          <t>Là người nhà, tôi muốn đăng ký/đăng nhập bằng SĐT hoặc email để dùng ứng dụng</t>
        </is>
      </c>
      <c r="D2" s="6" t="inlineStr">
        <is>
          <t>Đăng ký, đăng nhập, đăng xuất, đổi mật khẩu; mật khẩu băm argon2</t>
        </is>
      </c>
      <c r="E2" s="6" t="inlineStr">
        <is>
          <t>Cao</t>
        </is>
      </c>
      <c r="F2" s="6" t="n">
        <v>3</v>
      </c>
      <c r="G2" s="6" t="inlineStr">
        <is>
          <t>Sprint 1</t>
        </is>
      </c>
      <c r="H2" s="7" t="inlineStr">
        <is>
          <t>Hoàn thành</t>
        </is>
      </c>
      <c r="I2" s="6" t="inlineStr">
        <is>
          <t>TC-11, TC-12, TC-13</t>
        </is>
      </c>
      <c r="J2" s="7" t="inlineStr"/>
    </row>
    <row r="3">
      <c r="A3" s="6" t="inlineStr">
        <is>
          <t>PB-02</t>
        </is>
      </c>
      <c r="B3" s="6" t="inlineStr">
        <is>
          <t>FR-02</t>
        </is>
      </c>
      <c r="C3" s="6" t="inlineStr">
        <is>
          <t>Là bệnh viện, tôi muốn mỗi vai trò chỉ làm được việc của mình để bảo vệ dữ liệu</t>
        </is>
      </c>
      <c r="D3" s="6" t="inlineStr">
        <is>
          <t>Kiểm tra quyền ở server cho mọi API; sai vai trò trả 403</t>
        </is>
      </c>
      <c r="E3" s="6" t="inlineStr">
        <is>
          <t>Cao</t>
        </is>
      </c>
      <c r="F3" s="6" t="n">
        <v>3</v>
      </c>
      <c r="G3" s="6" t="inlineStr">
        <is>
          <t>Sprint 1</t>
        </is>
      </c>
      <c r="H3" s="7" t="inlineStr">
        <is>
          <t>Hoàn thành</t>
        </is>
      </c>
      <c r="I3" s="6" t="inlineStr">
        <is>
          <t>TC-07, TC-14</t>
        </is>
      </c>
      <c r="J3" s="7" t="inlineStr"/>
    </row>
    <row r="4">
      <c r="A4" s="6" t="inlineStr">
        <is>
          <t>PB-03</t>
        </is>
      </c>
      <c r="B4" s="6" t="inlineStr">
        <is>
          <t>FR-03</t>
        </is>
      </c>
      <c r="C4" s="6" t="inlineStr">
        <is>
          <t>Là nhân viên y tế, tôi muốn tạo và sửa hồ sơ bệnh nhân</t>
        </is>
      </c>
      <c r="D4" s="6" t="inlineStr">
        <is>
          <t>Tạo/sửa/tìm bệnh nhân; mã bệnh nhân không trùng</t>
        </is>
      </c>
      <c r="E4" s="6" t="inlineStr">
        <is>
          <t>Cao</t>
        </is>
      </c>
      <c r="F4" s="6" t="n">
        <v>2</v>
      </c>
      <c r="G4" s="6" t="inlineStr">
        <is>
          <t>Sprint 1</t>
        </is>
      </c>
      <c r="H4" s="7" t="inlineStr">
        <is>
          <t>Hoàn thành</t>
        </is>
      </c>
      <c r="I4" s="6" t="inlineStr">
        <is>
          <t>TC-15</t>
        </is>
      </c>
      <c r="J4" s="7" t="inlineStr"/>
    </row>
    <row r="5">
      <c r="A5" s="6" t="inlineStr">
        <is>
          <t>PB-04</t>
        </is>
      </c>
      <c r="B5" s="6" t="inlineStr">
        <is>
          <t>FR-04</t>
        </is>
      </c>
      <c r="C5" s="6" t="inlineStr">
        <is>
          <t>Là nhân viên y tế, tôi muốn tạo ca mổ, gán phòng, giờ dự kiến và hủy ca khi cần</t>
        </is>
      </c>
      <c r="D5" s="6" t="inlineStr">
        <is>
          <t>Tạo ca ở trạng thái đầu; lọc theo ngày/phòng/trạng thái; hủy có lý do</t>
        </is>
      </c>
      <c r="E5" s="6" t="inlineStr">
        <is>
          <t>Cao</t>
        </is>
      </c>
      <c r="F5" s="6" t="n">
        <v>3</v>
      </c>
      <c r="G5" s="6" t="inlineStr">
        <is>
          <t>Sprint 1</t>
        </is>
      </c>
      <c r="H5" s="7" t="inlineStr">
        <is>
          <t>Hoàn thành</t>
        </is>
      </c>
      <c r="I5" s="6" t="inlineStr">
        <is>
          <t>TC-16, TC-18</t>
        </is>
      </c>
      <c r="J5" s="7" t="inlineStr"/>
    </row>
    <row r="6">
      <c r="A6" s="6" t="inlineStr">
        <is>
          <t>PB-05</t>
        </is>
      </c>
      <c r="B6" s="6" t="inlineStr">
        <is>
          <t>FR-05</t>
        </is>
      </c>
      <c r="C6" s="6" t="inlineStr">
        <is>
          <t>Là nhân viên y tế, tôi muốn chuyển trạng thái ca bằng một nút để cập nhật nhanh</t>
        </is>
      </c>
      <c r="D6" s="6" t="inlineStr">
        <is>
          <t>Chỉ chuyển sang bước kế tiếp; quay lui/bỏ bước cần lý do; có xác nhận</t>
        </is>
      </c>
      <c r="E6" s="6" t="inlineStr">
        <is>
          <t>Cao</t>
        </is>
      </c>
      <c r="F6" s="6" t="n">
        <v>5</v>
      </c>
      <c r="G6" s="6" t="inlineStr">
        <is>
          <t>Sprint 1</t>
        </is>
      </c>
      <c r="H6" s="7" t="inlineStr">
        <is>
          <t>Hoàn thành</t>
        </is>
      </c>
      <c r="I6" s="6" t="inlineStr">
        <is>
          <t>TC-01, TC-02, TC-17</t>
        </is>
      </c>
      <c r="J6" s="7" t="inlineStr"/>
    </row>
    <row r="7">
      <c r="A7" s="6" t="inlineStr">
        <is>
          <t>PB-06</t>
        </is>
      </c>
      <c r="B7" s="6" t="inlineStr">
        <is>
          <t>FR-06</t>
        </is>
      </c>
      <c r="C7" s="6" t="inlineStr">
        <is>
          <t>Là nhân viên y tế, tôi muốn cấp mã/QR cho người nhà để họ tự theo dõi</t>
        </is>
      </c>
      <c r="D7" s="6" t="inlineStr">
        <is>
          <t>Mã ngẫu nhiên 8 ký tự, có hạn, dùng một lần, thu hồi được; QR chứa link</t>
        </is>
      </c>
      <c r="E7" s="6" t="inlineStr">
        <is>
          <t>Cao</t>
        </is>
      </c>
      <c r="F7" s="6" t="n">
        <v>3</v>
      </c>
      <c r="G7" s="6" t="inlineStr">
        <is>
          <t>Sprint 1</t>
        </is>
      </c>
      <c r="H7" s="7" t="inlineStr">
        <is>
          <t>Hoàn thành</t>
        </is>
      </c>
      <c r="I7" s="6" t="inlineStr">
        <is>
          <t>TC-04, TC-19</t>
        </is>
      </c>
      <c r="J7" s="7" t="inlineStr"/>
    </row>
    <row r="8">
      <c r="A8" s="6" t="inlineStr">
        <is>
          <t>PB-07</t>
        </is>
      </c>
      <c r="B8" s="6" t="inlineStr">
        <is>
          <t>FR-07</t>
        </is>
      </c>
      <c r="C8" s="6" t="inlineStr">
        <is>
          <t>Là người nhà, tôi muốn nhập mã hoặc quét QR để liên kết với bệnh nhân</t>
        </is>
      </c>
      <c r="D8" s="6" t="inlineStr">
        <is>
          <t>Liên kết thành công; mã sai/hết hạn báo lỗi; sai 5 lần khóa 15 phút</t>
        </is>
      </c>
      <c r="E8" s="6" t="inlineStr">
        <is>
          <t>Cao</t>
        </is>
      </c>
      <c r="F8" s="6" t="n">
        <v>3</v>
      </c>
      <c r="G8" s="6" t="inlineStr">
        <is>
          <t>Sprint 1</t>
        </is>
      </c>
      <c r="H8" s="7" t="inlineStr">
        <is>
          <t>Hoàn thành</t>
        </is>
      </c>
      <c r="I8" s="6" t="inlineStr">
        <is>
          <t>TC-03, TC-05, TC-22</t>
        </is>
      </c>
      <c r="J8" s="7" t="inlineStr"/>
    </row>
    <row r="9">
      <c r="A9" s="6" t="inlineStr">
        <is>
          <t>PB-08</t>
        </is>
      </c>
      <c r="B9" s="6" t="inlineStr">
        <is>
          <t>FR-08</t>
        </is>
      </c>
      <c r="C9" s="6" t="inlineStr">
        <is>
          <t>Là người nhà, tôi muốn thấy trạng thái hiện tại tự cập nhật</t>
        </is>
      </c>
      <c r="D9" s="6" t="inlineStr">
        <is>
          <t>Chi tiết ca hiện trạng thái + tiến trình; cập nhật không cần tải lại</t>
        </is>
      </c>
      <c r="E9" s="6" t="inlineStr">
        <is>
          <t>Cao</t>
        </is>
      </c>
      <c r="F9" s="6" t="n">
        <v>3</v>
      </c>
      <c r="G9" s="6" t="inlineStr">
        <is>
          <t>Sprint 1-2</t>
        </is>
      </c>
      <c r="H9" s="7" t="inlineStr">
        <is>
          <t>Hoàn thành</t>
        </is>
      </c>
      <c r="I9" s="6" t="inlineStr">
        <is>
          <t>TC-21, TC-26</t>
        </is>
      </c>
      <c r="J9" s="7" t="inlineStr"/>
    </row>
    <row r="10">
      <c r="A10" s="6" t="inlineStr">
        <is>
          <t>PB-09</t>
        </is>
      </c>
      <c r="B10" s="6" t="inlineStr">
        <is>
          <t>FR-09</t>
        </is>
      </c>
      <c r="C10" s="6" t="inlineStr">
        <is>
          <t>Là người nhà, tôi muốn nhận thông báo đẩy khi trạng thái hoặc lịch thay đổi</t>
        </is>
      </c>
      <c r="D10" s="6" t="inlineStr">
        <is>
          <t>Push FCM tới thiết bị đã đăng ký; nội dung kín đáo; thử lại khi lỗi; lưu lịch sử gửi</t>
        </is>
      </c>
      <c r="E10" s="6" t="inlineStr">
        <is>
          <t>Cao</t>
        </is>
      </c>
      <c r="F10" s="6" t="n">
        <v>8</v>
      </c>
      <c r="G10" s="6" t="inlineStr">
        <is>
          <t>Sprint 2</t>
        </is>
      </c>
      <c r="H10" s="7" t="inlineStr">
        <is>
          <t>Đang làm</t>
        </is>
      </c>
      <c r="I10" s="6" t="inlineStr">
        <is>
          <t>TC-01, TC-09, TC-23..25, TC-31</t>
        </is>
      </c>
      <c r="J10" s="7" t="inlineStr"/>
    </row>
    <row r="11">
      <c r="A11" s="6" t="inlineStr">
        <is>
          <t>PB-10</t>
        </is>
      </c>
      <c r="B11" s="6" t="inlineStr">
        <is>
          <t>FR-10</t>
        </is>
      </c>
      <c r="C11" s="6" t="inlineStr">
        <is>
          <t>Là người nhà/nhân viên, tôi muốn xem lịch sử các trạng thái đã qua</t>
        </is>
      </c>
      <c r="D11" s="6" t="inlineStr">
        <is>
          <t>Danh sách trạng thái kèm thời điểm, chỉ thêm mới</t>
        </is>
      </c>
      <c r="E11" s="6" t="inlineStr">
        <is>
          <t>Cao</t>
        </is>
      </c>
      <c r="F11" s="6" t="n">
        <v>2</v>
      </c>
      <c r="G11" s="6" t="inlineStr">
        <is>
          <t>Sprint 1</t>
        </is>
      </c>
      <c r="H11" s="7" t="inlineStr">
        <is>
          <t>Hoàn thành</t>
        </is>
      </c>
      <c r="I11" s="6" t="inlineStr">
        <is>
          <t>TC-01</t>
        </is>
      </c>
      <c r="J11" s="7" t="inlineStr"/>
    </row>
    <row r="12">
      <c r="A12" s="6" t="inlineStr">
        <is>
          <t>PB-11</t>
        </is>
      </c>
      <c r="B12" s="6" t="inlineStr">
        <is>
          <t>FR-11</t>
        </is>
      </c>
      <c r="C12" s="6" t="inlineStr">
        <is>
          <t>Là quản trị viên, tôi muốn xem ai đã xem/sửa thông tin bệnh nhân</t>
        </is>
      </c>
      <c r="D12" s="6" t="inlineStr">
        <is>
          <t>Màn hình nhật ký lọc theo người dùng, thời gian, hành động</t>
        </is>
      </c>
      <c r="E12" s="6" t="inlineStr">
        <is>
          <t>Trung bình</t>
        </is>
      </c>
      <c r="F12" s="6" t="n">
        <v>3</v>
      </c>
      <c r="G12" s="6" t="inlineStr">
        <is>
          <t>Sprint 2</t>
        </is>
      </c>
      <c r="H12" s="7" t="inlineStr">
        <is>
          <t>Hoàn thành</t>
        </is>
      </c>
      <c r="I12" s="6" t="inlineStr">
        <is>
          <t>TC-30</t>
        </is>
      </c>
      <c r="J12" s="7" t="inlineStr"/>
    </row>
    <row r="13">
      <c r="A13" s="6" t="inlineStr">
        <is>
          <t>PB-12</t>
        </is>
      </c>
      <c r="B13" s="6" t="inlineStr">
        <is>
          <t>FR-12</t>
        </is>
      </c>
      <c r="C13" s="6" t="inlineStr">
        <is>
          <t>Là quản trị viên, tôi muốn quản lý tài khoản nhân viên, phòng và danh mục trạng thái</t>
        </is>
      </c>
      <c r="D13" s="6" t="inlineStr">
        <is>
          <t>Tạo/khóa tài khoản, đổi vai trò; thêm/sửa phòng; sửa nội dung thông báo</t>
        </is>
      </c>
      <c r="E13" s="6" t="inlineStr">
        <is>
          <t>Trung bình</t>
        </is>
      </c>
      <c r="F13" s="6" t="n">
        <v>5</v>
      </c>
      <c r="G13" s="6" t="inlineStr">
        <is>
          <t>Sprint 2</t>
        </is>
      </c>
      <c r="H13" s="7" t="inlineStr">
        <is>
          <t>Hoàn thành</t>
        </is>
      </c>
      <c r="I13" s="6" t="inlineStr">
        <is>
          <t>TC-27..29, TC-32</t>
        </is>
      </c>
      <c r="J13" s="7" t="inlineStr"/>
    </row>
    <row r="14">
      <c r="A14" s="6" t="inlineStr">
        <is>
          <t>PB-13</t>
        </is>
      </c>
      <c r="B14" s="6" t="inlineStr">
        <is>
          <t>FR-13</t>
        </is>
      </c>
      <c r="C14" s="6" t="inlineStr">
        <is>
          <t>Là người nhà/quản trị viên, tôi muốn hủy quyền theo dõi</t>
        </is>
      </c>
      <c r="D14" s="6" t="inlineStr">
        <is>
          <t>Hủy liên kết; sau đó không xem được ca và không nhận thông báo</t>
        </is>
      </c>
      <c r="E14" s="6" t="inlineStr">
        <is>
          <t>Trung bình</t>
        </is>
      </c>
      <c r="F14" s="6" t="n">
        <v>2</v>
      </c>
      <c r="G14" s="6" t="inlineStr">
        <is>
          <t>Sprint 1</t>
        </is>
      </c>
      <c r="H14" s="7" t="inlineStr">
        <is>
          <t>Hoàn thành</t>
        </is>
      </c>
      <c r="I14" s="6" t="inlineStr">
        <is>
          <t>TC-08</t>
        </is>
      </c>
      <c r="J14" s="7" t="inlineStr"/>
    </row>
    <row r="15">
      <c r="A15" s="6" t="inlineStr">
        <is>
          <t>PB-14</t>
        </is>
      </c>
      <c r="B15" s="6" t="inlineStr">
        <is>
          <t>FR-14</t>
        </is>
      </c>
      <c r="C15" s="6" t="inlineStr">
        <is>
          <t>Là bệnh viện, tôi muốn gửi SMS cho người nhà không dùng ứng dụng</t>
        </is>
      </c>
      <c r="D15" s="6" t="inlineStr">
        <is>
          <t>Gửi qua SMS Gateway</t>
        </is>
      </c>
      <c r="E15" s="6" t="inlineStr">
        <is>
          <t>Thấp</t>
        </is>
      </c>
      <c r="F15" s="6" t="n">
        <v>5</v>
      </c>
      <c r="G15" s="6" t="inlineStr">
        <is>
          <t>Mở rộng</t>
        </is>
      </c>
      <c r="H15" s="7" t="inlineStr">
        <is>
          <t>Chưa làm</t>
        </is>
      </c>
      <c r="I15" s="6" t="inlineStr"/>
      <c r="J15" s="7" t="inlineStr"/>
    </row>
    <row r="16">
      <c r="A16" s="6" t="inlineStr">
        <is>
          <t>PB-15</t>
        </is>
      </c>
      <c r="B16" s="6" t="inlineStr">
        <is>
          <t>NFR-01</t>
        </is>
      </c>
      <c r="C16" s="6" t="inlineStr">
        <is>
          <t>Là người nhà, tôi muốn nhận thông báo trong vòng 5 giây</t>
        </is>
      </c>
      <c r="D16" s="6" t="inlineStr">
        <is>
          <t>Đo độ trễ cập nhật → thông báo; k6 với 100 người theo dõi</t>
        </is>
      </c>
      <c r="E16" s="6" t="inlineStr">
        <is>
          <t>Cao</t>
        </is>
      </c>
      <c r="F16" s="6" t="n">
        <v>3</v>
      </c>
      <c r="G16" s="6" t="inlineStr">
        <is>
          <t>Sprint 3</t>
        </is>
      </c>
      <c r="H16" s="7" t="inlineStr">
        <is>
          <t>Hoàn thành</t>
        </is>
      </c>
      <c r="I16" s="6" t="inlineStr">
        <is>
          <t>TC-10, TC-33</t>
        </is>
      </c>
      <c r="J16" s="7" t="inlineStr"/>
    </row>
    <row r="17">
      <c r="A17" s="6" t="inlineStr">
        <is>
          <t>PB-16</t>
        </is>
      </c>
      <c r="B17" s="6" t="inlineStr">
        <is>
          <t>NFR-09</t>
        </is>
      </c>
      <c r="C17" s="6" t="inlineStr">
        <is>
          <t>Là đội phát triển, tôi muốn triển khai bằng Docker để demo ổn định</t>
        </is>
      </c>
      <c r="D17" s="6" t="inlineStr">
        <is>
          <t>Dockerfile API + web, docker compose chạy trọn bộ</t>
        </is>
      </c>
      <c r="E17" s="6" t="inlineStr">
        <is>
          <t>Trung bình</t>
        </is>
      </c>
      <c r="F17" s="6" t="n">
        <v>3</v>
      </c>
      <c r="G17" s="6" t="inlineStr">
        <is>
          <t>Sprint 3</t>
        </is>
      </c>
      <c r="H17" s="7" t="inlineStr">
        <is>
          <t>Hoàn thành</t>
        </is>
      </c>
      <c r="I17" s="6" t="inlineStr">
        <is>
          <t>TC-42, TC-43</t>
        </is>
      </c>
      <c r="J17" s="7" t="inlineStr"/>
    </row>
    <row r="18">
      <c r="A18" s="6" t="inlineStr">
        <is>
          <t>PB-17</t>
        </is>
      </c>
      <c r="B18" s="6" t="inlineStr">
        <is>
          <t>Kiểm thử</t>
        </is>
      </c>
      <c r="C18" s="6" t="inlineStr">
        <is>
          <t>Là đội phát triển, tôi muốn sửa các lỗi phát hiện khi kiểm thử để sản phẩm ổn định trước khi báo cáo</t>
        </is>
      </c>
      <c r="D18" s="6" t="inlineStr">
        <is>
          <t>12 lỗi trong Bug log đã sửa, có test hồi quy; coverage gộp ≥ 80%</t>
        </is>
      </c>
      <c r="E18" s="6" t="inlineStr">
        <is>
          <t>Cao</t>
        </is>
      </c>
      <c r="F18" s="6" t="n">
        <v>5</v>
      </c>
      <c r="G18" s="6" t="inlineStr">
        <is>
          <t>Sprint 3</t>
        </is>
      </c>
      <c r="H18" s="7" t="inlineStr">
        <is>
          <t>Hoàn thành</t>
        </is>
      </c>
      <c r="I18" s="6" t="inlineStr">
        <is>
          <t>TC-34..TC-40, TC-44, TC-45</t>
        </is>
      </c>
      <c r="J18" s="7" t="inlineStr"/>
    </row>
    <row r="19">
      <c r="A19" s="6" t="inlineStr">
        <is>
          <t>PB-18</t>
        </is>
      </c>
      <c r="B19" s="6" t="inlineStr">
        <is>
          <t>Mục 7</t>
        </is>
      </c>
      <c r="C19" s="6" t="inlineStr">
        <is>
          <t>Là bệnh viện, tôi muốn phiên đăng nhập được thu hồi khi đổi mật khẩu/khóa và nhân viên tự đăng xuất khi bỏ máy</t>
        </is>
      </c>
      <c r="D19" s="6" t="inlineStr">
        <is>
          <t>Đổi mật khẩu/khóa/đổi vai trò thu hồi phiên; nhân viên không thao tác 30 phút tự đăng xuất</t>
        </is>
      </c>
      <c r="E19" s="6" t="inlineStr">
        <is>
          <t>Trung bình</t>
        </is>
      </c>
      <c r="F19" s="6" t="n">
        <v>3</v>
      </c>
      <c r="G19" s="6" t="inlineStr">
        <is>
          <t>Sprint 3</t>
        </is>
      </c>
      <c r="H19" s="7" t="inlineStr">
        <is>
          <t>Hoàn thành</t>
        </is>
      </c>
      <c r="I19" s="6" t="inlineStr">
        <is>
          <t>TC-38, TC-41</t>
        </is>
      </c>
      <c r="J19" s="7" t="inlineStr"/>
    </row>
    <row r="20">
      <c r="A20" s="6" t="inlineStr">
        <is>
          <t>PB-19</t>
        </is>
      </c>
      <c r="B20" s="6" t="inlineStr">
        <is>
          <t>Buổi 9</t>
        </is>
      </c>
      <c r="C20" s="6" t="inlineStr">
        <is>
          <t>Là nhóm, tôi muốn có ảnh minh chứng cho từng test case để đưa vào báo cáo và chấm Rubric 3</t>
        </is>
      </c>
      <c r="D20" s="6" t="inlineStr">
        <is>
          <t>20 kịch bản Playwright chạy lại được, ảnh đặt tên theo mã TC; ảnh kết quả Jest/k6/Docker dựng từ file kết quả thật</t>
        </is>
      </c>
      <c r="E20" s="6" t="inlineStr">
        <is>
          <t>Cao</t>
        </is>
      </c>
      <c r="F20" s="6" t="n">
        <v>5</v>
      </c>
      <c r="G20" s="6" t="inlineStr">
        <is>
          <t>Sprint 4</t>
        </is>
      </c>
      <c r="H20" s="7" t="inlineStr">
        <is>
          <t>Hoàn thành</t>
        </is>
      </c>
      <c r="I20" s="6" t="inlineStr">
        <is>
          <t>TC-01..TC-48</t>
        </is>
      </c>
      <c r="J20" s="7" t="inlineStr"/>
    </row>
    <row r="21">
      <c r="A21" s="6" t="inlineStr">
        <is>
          <t>PB-20</t>
        </is>
      </c>
      <c r="B21" s="6" t="inlineStr">
        <is>
          <t>Buổi 9-10</t>
        </is>
      </c>
      <c r="C21" s="6" t="inlineStr">
        <is>
          <t>Là nhóm, tôi muốn có báo cáo 8 mục, slide và dữ liệu demo để bảo vệ đề tài</t>
        </is>
      </c>
      <c r="D21" s="6" t="inlineStr">
        <is>
          <t>Báo cáo Word có mục lục, hình, bảng; 14 slide có ghi chú; seed dữ liệu demo</t>
        </is>
      </c>
      <c r="E21" s="6" t="inlineStr">
        <is>
          <t>Cao</t>
        </is>
      </c>
      <c r="F21" s="6" t="n">
        <v>5</v>
      </c>
      <c r="G21" s="6" t="inlineStr">
        <is>
          <t>Sprint 4</t>
        </is>
      </c>
      <c r="H21" s="7" t="inlineStr">
        <is>
          <t>Hoàn thành</t>
        </is>
      </c>
      <c r="I21" s="6" t="inlineStr"/>
      <c r="J21" s="7" t="inlineStr"/>
    </row>
  </sheetData>
  <autoFilter ref="A1:J21"/>
  <dataValidations count="2">
    <dataValidation sqref="H2:H71" showDropDown="0" showInputMessage="0" showErrorMessage="0" allowBlank="1" type="list">
      <formula1>"Hoàn thành,Đang làm,Chưa làm"</formula1>
    </dataValidation>
    <dataValidation sqref="E2:E71" showDropDown="0" showInputMessage="0" showErrorMessage="0" allowBlank="1" type="list">
      <formula1>"Cao,Trung bình,Thấp"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28" customWidth="1" min="4" max="4"/>
    <col width="22" customWidth="1" min="5" max="5"/>
  </cols>
  <sheetData>
    <row r="1">
      <c r="A1" s="5" t="inlineStr">
        <is>
          <t>Sprint</t>
        </is>
      </c>
      <c r="B1" s="5" t="inlineStr">
        <is>
          <t>Thời gian</t>
        </is>
      </c>
      <c r="C1" s="5" t="inlineStr">
        <is>
          <t>Mục tiêu</t>
        </is>
      </c>
      <c r="D1" s="5" t="inlineStr">
        <is>
          <t>Hạng mục backlog</t>
        </is>
      </c>
      <c r="E1" s="5" t="inlineStr">
        <is>
          <t>Trạng thái</t>
        </is>
      </c>
    </row>
    <row r="2">
      <c r="A2" s="6" t="inlineStr">
        <is>
          <t>Sprint 0</t>
        </is>
      </c>
      <c r="B2" s="6" t="inlineStr">
        <is>
          <t>Buổi 1-5</t>
        </is>
      </c>
      <c r="C2" s="6" t="inlineStr">
        <is>
          <t>Khởi tạo dự án, thiết kế CSDL/API, môi trường phát triển</t>
        </is>
      </c>
      <c r="D2" s="6" t="inlineStr">
        <is>
          <t>PB-16 (một phần)</t>
        </is>
      </c>
      <c r="E2" s="7" t="inlineStr">
        <is>
          <t>Hoàn thành (15/10/2026)</t>
        </is>
      </c>
    </row>
    <row r="3">
      <c r="A3" s="6" t="inlineStr">
        <is>
          <t>Sprint 1</t>
        </is>
      </c>
      <c r="B3" s="6" t="inlineStr">
        <is>
          <t>Buổi 6</t>
        </is>
      </c>
      <c r="C3" s="6" t="inlineStr">
        <is>
          <t>Luồng cốt lõi: xác thực, ca mổ, trạng thái, mã/QR, liên kết người nhà</t>
        </is>
      </c>
      <c r="D3" s="6" t="inlineStr">
        <is>
          <t>PB-01..PB-08, PB-10, PB-13</t>
        </is>
      </c>
      <c r="E3" s="7" t="inlineStr">
        <is>
          <t>Hoàn thành (15/10/2026)</t>
        </is>
      </c>
    </row>
    <row r="4">
      <c r="A4" s="6" t="inlineStr">
        <is>
          <t>Sprint 2</t>
        </is>
      </c>
      <c r="B4" s="6" t="inlineStr">
        <is>
          <t>Buổi 7 (giữa kỳ 2)</t>
        </is>
      </c>
      <c r="C4" s="6" t="inlineStr">
        <is>
          <t>Thông báo đẩy, cập nhật thời gian thực, trang quản trị, nhật ký truy cập</t>
        </is>
      </c>
      <c r="D4" s="6" t="inlineStr">
        <is>
          <t>PB-08, PB-09, PB-11, PB-12</t>
        </is>
      </c>
      <c r="E4" s="7" t="inlineStr">
        <is>
          <t>Gần xong (còn thử push FCM thật)</t>
        </is>
      </c>
    </row>
    <row r="5">
      <c r="A5" s="6" t="inlineStr">
        <is>
          <t>Sprint 3</t>
        </is>
      </c>
      <c r="B5" s="6" t="inlineStr">
        <is>
          <t>Buổi 8-9</t>
        </is>
      </c>
      <c r="C5" s="6" t="inlineStr">
        <is>
          <t>Kiểm thử, sửa lỗi, thử tải, triển khai Docker, sao lưu</t>
        </is>
      </c>
      <c r="D5" s="6" t="inlineStr">
        <is>
          <t>PB-15..PB-18</t>
        </is>
      </c>
      <c r="E5" s="7" t="inlineStr">
        <is>
          <t>Hoàn thành (15/10/2026)</t>
        </is>
      </c>
    </row>
    <row r="6">
      <c r="A6" s="6" t="inlineStr">
        <is>
          <t>Sprint 4</t>
        </is>
      </c>
      <c r="B6" s="6" t="inlineStr">
        <is>
          <t>Buổi 9-10</t>
        </is>
      </c>
      <c r="C6" s="6" t="inlineStr">
        <is>
          <t>Minh chứng tự động, báo cáo 8 mục, slide, dữ liệu demo</t>
        </is>
      </c>
      <c r="D6" s="6" t="inlineStr">
        <is>
          <t>PB-19, PB-20</t>
        </is>
      </c>
      <c r="E6" s="7" t="inlineStr">
        <is>
          <t>Hoàn thành (16/10/2026)</t>
        </is>
      </c>
    </row>
    <row r="7">
      <c r="A7" s="6" t="inlineStr">
        <is>
          <t>Báo cáo</t>
        </is>
      </c>
      <c r="B7" s="6" t="inlineStr">
        <is>
          <t>Buổi 10 + bảo vệ</t>
        </is>
      </c>
      <c r="C7" s="6" t="inlineStr">
        <is>
          <t>Tổng duyệt, quay video dự phòng; thử push FCM thật nếu có Firebase</t>
        </is>
      </c>
      <c r="D7" s="6" t="inlineStr">
        <is>
          <t>PB-09 (phần còn lại)</t>
        </is>
      </c>
      <c r="E7" s="7" t="inlineStr">
        <is>
          <t>Chưa làm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32" customWidth="1" min="4" max="4"/>
    <col width="4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5" t="inlineStr">
        <is>
          <t>Buổi</t>
        </is>
      </c>
      <c r="B1" s="5" t="inlineStr">
        <is>
          <t>Ngày</t>
        </is>
      </c>
      <c r="C1" s="5" t="inlineStr">
        <is>
          <t>Nội dung buổi</t>
        </is>
      </c>
      <c r="D1" s="5" t="inlineStr">
        <is>
          <t>Bàn giao chính</t>
        </is>
      </c>
      <c r="E1" s="5" t="inlineStr">
        <is>
          <t>Công việc đã làm (ai làm gì)</t>
        </is>
      </c>
      <c r="F1" s="5" t="inlineStr">
        <is>
          <t>Sản phẩm bàn giao</t>
        </is>
      </c>
      <c r="G1" s="5" t="inlineStr">
        <is>
          <t>Khó khăn / quyết định</t>
        </is>
      </c>
      <c r="H1" s="5" t="inlineStr">
        <is>
          <t>Góp ý của GVHD</t>
        </is>
      </c>
      <c r="I1" s="5" t="inlineStr">
        <is>
          <t>Kế hoạch tuần tới</t>
        </is>
      </c>
    </row>
    <row r="2">
      <c r="A2" s="6" t="n">
        <v>1</v>
      </c>
      <c r="B2" s="7" t="inlineStr"/>
      <c r="C2" s="6" t="inlineStr">
        <is>
          <t>Giới thiệu, phân nhóm, chọn đề tài</t>
        </is>
      </c>
      <c r="D2" s="6" t="inlineStr">
        <is>
          <t>Danh sách nhóm + đề tài, mục tiêu và 3-4 tính năng</t>
        </is>
      </c>
      <c r="E2" s="7" t="inlineStr"/>
      <c r="F2" s="7" t="inlineStr"/>
      <c r="G2" s="7" t="inlineStr"/>
      <c r="H2" s="7" t="inlineStr"/>
      <c r="I2" s="7" t="inlineStr"/>
    </row>
    <row r="3">
      <c r="A3" s="6" t="n">
        <v>2</v>
      </c>
      <c r="B3" s="7" t="inlineStr"/>
      <c r="C3" s="6" t="inlineStr">
        <is>
          <t>Phân tích yêu cầu</t>
        </is>
      </c>
      <c r="D3" s="6" t="inlineStr">
        <is>
          <t>SRS rút gọn, FR đã đánh số</t>
        </is>
      </c>
      <c r="E3" s="7" t="inlineStr"/>
      <c r="F3" s="7" t="inlineStr"/>
      <c r="G3" s="7" t="inlineStr"/>
      <c r="H3" s="7" t="inlineStr"/>
      <c r="I3" s="7" t="inlineStr"/>
    </row>
    <row r="4">
      <c r="A4" s="6" t="n">
        <v>3</v>
      </c>
      <c r="B4" s="7" t="inlineStr"/>
      <c r="C4" s="6" t="inlineStr">
        <is>
          <t>Kế hoạch Agile/Scrum</t>
        </is>
      </c>
      <c r="D4" s="6" t="inlineStr">
        <is>
          <t>Product backlog, kế hoạch sprint</t>
        </is>
      </c>
      <c r="E4" s="7" t="inlineStr"/>
      <c r="F4" s="7" t="inlineStr"/>
      <c r="G4" s="7" t="inlineStr"/>
      <c r="H4" s="7" t="inlineStr"/>
      <c r="I4" s="7" t="inlineStr"/>
    </row>
    <row r="5">
      <c r="A5" s="6" t="n">
        <v>4</v>
      </c>
      <c r="B5" s="7" t="inlineStr"/>
      <c r="C5" s="6" t="inlineStr">
        <is>
          <t>Kiến trúc tổng thể</t>
        </is>
      </c>
      <c r="D5" s="6" t="inlineStr">
        <is>
          <t>Sơ đồ kiến trúc, lựa chọn công nghệ</t>
        </is>
      </c>
      <c r="E5" s="7" t="inlineStr"/>
      <c r="F5" s="7" t="inlineStr"/>
      <c r="G5" s="7" t="inlineStr"/>
      <c r="H5" s="7" t="inlineStr"/>
      <c r="I5" s="7" t="inlineStr"/>
    </row>
    <row r="6">
      <c r="A6" s="6" t="n">
        <v>5</v>
      </c>
      <c r="B6" s="7" t="inlineStr"/>
      <c r="C6" s="6" t="inlineStr">
        <is>
          <t>Thiết kế chi tiết (giữa kỳ 1)</t>
        </is>
      </c>
      <c r="D6" s="6" t="inlineStr">
        <is>
          <t>ERD, API contract, wireframe, môi trường dev sẵn sàng</t>
        </is>
      </c>
      <c r="E6" s="7" t="inlineStr"/>
      <c r="F6" s="7" t="inlineStr"/>
      <c r="G6" s="7" t="inlineStr"/>
      <c r="H6" s="7" t="inlineStr"/>
      <c r="I6" s="7" t="inlineStr"/>
    </row>
    <row r="7">
      <c r="A7" s="6" t="n">
        <v>6</v>
      </c>
      <c r="B7" s="7" t="inlineStr"/>
      <c r="C7" s="6" t="inlineStr">
        <is>
          <t>Sprint 1</t>
        </is>
      </c>
      <c r="D7" s="6" t="inlineStr">
        <is>
          <t>Luồng cốt lõi chạy được</t>
        </is>
      </c>
      <c r="E7" s="7" t="inlineStr"/>
      <c r="F7" s="7" t="inlineStr"/>
      <c r="G7" s="7" t="inlineStr"/>
      <c r="H7" s="7" t="inlineStr"/>
      <c r="I7" s="7" t="inlineStr"/>
    </row>
    <row r="8">
      <c r="A8" s="6" t="n">
        <v>7</v>
      </c>
      <c r="B8" s="7" t="inlineStr"/>
      <c r="C8" s="6" t="inlineStr">
        <is>
          <t>Sprint 2 (giữa kỳ 2)</t>
        </is>
      </c>
      <c r="D8" s="6" t="inlineStr">
        <is>
          <t>Sản phẩm demo được</t>
        </is>
      </c>
      <c r="E8" s="7" t="inlineStr"/>
      <c r="F8" s="7" t="inlineStr"/>
      <c r="G8" s="7" t="inlineStr"/>
      <c r="H8" s="7" t="inlineStr"/>
      <c r="I8" s="7" t="inlineStr"/>
    </row>
    <row r="9">
      <c r="A9" s="6" t="n">
        <v>8</v>
      </c>
      <c r="B9" s="7" t="inlineStr"/>
      <c r="C9" s="6" t="inlineStr">
        <is>
          <t>Kiểm thử và tinh chỉnh</t>
        </is>
      </c>
      <c r="D9" s="6" t="inlineStr">
        <is>
          <t>Bảng kết quả test, danh sách hạn chế</t>
        </is>
      </c>
      <c r="E9" s="7" t="inlineStr"/>
      <c r="F9" s="7" t="inlineStr"/>
      <c r="G9" s="7" t="inlineStr"/>
      <c r="H9" s="7" t="inlineStr"/>
      <c r="I9" s="7" t="inlineStr"/>
    </row>
    <row r="10">
      <c r="A10" s="6" t="n">
        <v>9</v>
      </c>
      <c r="B10" s="7" t="inlineStr"/>
      <c r="C10" s="6" t="inlineStr">
        <is>
          <t>Triển khai, viết báo cáo</t>
        </is>
      </c>
      <c r="D10" s="6" t="inlineStr">
        <is>
          <t>Bản triển khai, báo cáo nháp</t>
        </is>
      </c>
      <c r="E10" s="7" t="inlineStr"/>
      <c r="F10" s="7" t="inlineStr"/>
      <c r="G10" s="7" t="inlineStr"/>
      <c r="H10" s="7" t="inlineStr"/>
      <c r="I10" s="7" t="inlineStr"/>
    </row>
    <row r="11">
      <c r="A11" s="6" t="n">
        <v>10</v>
      </c>
      <c r="B11" s="7" t="inlineStr"/>
      <c r="C11" s="6" t="inlineStr">
        <is>
          <t>Tổng duyệt</t>
        </is>
      </c>
      <c r="D11" s="6" t="inlineStr">
        <is>
          <t>Sản phẩm, báo cáo và slide hoàn chỉnh</t>
        </is>
      </c>
      <c r="E11" s="7" t="inlineStr"/>
      <c r="F11" s="7" t="inlineStr"/>
      <c r="G11" s="7" t="inlineStr"/>
      <c r="H11" s="7" t="inlineStr"/>
      <c r="I1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56" customWidth="1" min="3" max="3"/>
    <col width="40" customWidth="1" min="4" max="4"/>
    <col width="11" customWidth="1" min="5" max="5"/>
  </cols>
  <sheetData>
    <row r="1">
      <c r="A1" s="5" t="inlineStr">
        <is>
          <t>Ngày</t>
        </is>
      </c>
      <c r="B1" s="5" t="inlineStr">
        <is>
          <t>Thành viên</t>
        </is>
      </c>
      <c r="C1" s="5" t="inlineStr">
        <is>
          <t>Công việc</t>
        </is>
      </c>
      <c r="D1" s="5" t="inlineStr">
        <is>
          <t>Kết quả</t>
        </is>
      </c>
      <c r="E1" s="5" t="inlineStr">
        <is>
          <t>Commit</t>
        </is>
      </c>
    </row>
    <row r="2">
      <c r="A2" s="7" t="inlineStr">
        <is>
          <t>15/10/2026</t>
        </is>
      </c>
      <c r="B2" s="7" t="inlineStr">
        <is>
          <t>ThienBao19</t>
        </is>
      </c>
      <c r="C2" s="7" t="inlineStr">
        <is>
          <t>Khởi tạo monorepo NestJS + Next.js, Prisma schema 11 bảng, Docker PostgreSQL, seed</t>
        </is>
      </c>
      <c r="D2" s="7" t="inlineStr">
        <is>
          <t>Build, lint, test pass</t>
        </is>
      </c>
      <c r="E2" s="7" t="inlineStr">
        <is>
          <t>2cdbe26</t>
        </is>
      </c>
    </row>
    <row r="3">
      <c r="A3" s="7" t="inlineStr">
        <is>
          <t>15/10/2026</t>
        </is>
      </c>
      <c r="B3" s="7" t="inlineStr">
        <is>
          <t>ThienBao19</t>
        </is>
      </c>
      <c r="C3" s="7" t="inlineStr">
        <is>
          <t>Sprint 1: xác thực, phân quyền, bệnh nhân, ca mổ, trạng thái, mã/QR, liên kết, giao diện</t>
        </is>
      </c>
      <c r="D3" s="7" t="inlineStr">
        <is>
          <t>25 unit + 30 e2e test pass; chạy thử luồng QR trên trình duyệt</t>
        </is>
      </c>
      <c r="E3" s="7" t="inlineStr">
        <is>
          <t>b50b136</t>
        </is>
      </c>
    </row>
    <row r="4">
      <c r="A4" s="7" t="inlineStr">
        <is>
          <t>15/10/2026</t>
        </is>
      </c>
      <c r="B4" s="7" t="inlineStr">
        <is>
          <t>ThienBao19</t>
        </is>
      </c>
      <c r="C4" s="7" t="inlineStr">
        <is>
          <t>Lập file Excel kết quả kiểm thử, backlog, nhật ký</t>
        </is>
      </c>
      <c r="D4" s="7" t="inlineStr">
        <is>
          <t>docs/kiem-thu, docs/quan-ly</t>
        </is>
      </c>
      <c r="E4" s="7" t="inlineStr"/>
    </row>
    <row r="5">
      <c r="A5" s="7" t="inlineStr">
        <is>
          <t>15/10/2026</t>
        </is>
      </c>
      <c r="B5" s="7" t="inlineStr">
        <is>
          <t>ThienBao19</t>
        </is>
      </c>
      <c r="C5" s="7" t="inlineStr">
        <is>
          <t>Sprint 2: thông báo (lưu, push FCM, thử lại), SSE realtime, trang quản trị, nhật ký truy cập, trang Thông báo/Cài đặt</t>
        </is>
      </c>
      <c r="D5" s="7" t="inlineStr">
        <is>
          <t>37 unit + 48 e2e test pass; độ trễ cập nhật màn hình người nhà 113 ms</t>
        </is>
      </c>
      <c r="E5" s="7" t="inlineStr">
        <is>
          <t>0372531</t>
        </is>
      </c>
    </row>
    <row r="6">
      <c r="A6" s="7" t="inlineStr">
        <is>
          <t>15/10/2026</t>
        </is>
      </c>
      <c r="B6" s="7" t="inlineStr">
        <is>
          <t>ThienBao19</t>
        </is>
      </c>
      <c r="C6" s="7" t="inlineStr">
        <is>
          <t>Sprint 3: rà lỗi (12 lỗi đã sửa + 5 hạn chế, ghi Bug log), thử tải k6 100/500 người nhà, Docker + nginx + sao lưu, tự đăng xuất</t>
        </is>
      </c>
      <c r="D6" s="7" t="inlineStr">
        <is>
          <t>53 unit + 56 e2e pass, coverage 94%; 500 người nhà: 0 lỗi, thông báo p95 1,04 s</t>
        </is>
      </c>
      <c r="E6" s="7" t="inlineStr">
        <is>
          <t>1162c31</t>
        </is>
      </c>
    </row>
    <row r="7">
      <c r="A7" s="7" t="inlineStr">
        <is>
          <t>16/10/2026</t>
        </is>
      </c>
      <c r="B7" s="7" t="inlineStr">
        <is>
          <t>ThienBao19</t>
        </is>
      </c>
      <c r="C7" s="7" t="inlineStr">
        <is>
          <t>Sprint 4: dữ liệu demo, 20 kịch bản Playwright + 36 ảnh minh chứng, sửa BUG-13..16, báo cáo Word 39 trang, 14 slide</t>
        </is>
      </c>
      <c r="D7" s="7" t="inlineStr">
        <is>
          <t>47/48 test case đạt; 110 test Jest pass</t>
        </is>
      </c>
      <c r="E7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40" customWidth="1" min="4" max="4"/>
  </cols>
  <sheetData>
    <row r="1">
      <c r="A1" s="5" t="inlineStr">
        <is>
          <t>Họ tên</t>
        </is>
      </c>
      <c r="B1" s="5" t="inlineStr">
        <is>
          <t>MSSV</t>
        </is>
      </c>
      <c r="C1" s="5" t="inlineStr">
        <is>
          <t>Vai trò trong nhóm</t>
        </is>
      </c>
      <c r="D1" s="5" t="inlineStr">
        <is>
          <t>Phụ trách chính</t>
        </is>
      </c>
    </row>
    <row r="2">
      <c r="A2" s="7" t="inlineStr"/>
      <c r="B2" s="7" t="inlineStr"/>
      <c r="C2" s="7" t="inlineStr">
        <is>
          <t>Nhóm trưởng</t>
        </is>
      </c>
      <c r="D2" s="7" t="inlineStr">
        <is>
          <t>Backend / API</t>
        </is>
      </c>
    </row>
    <row r="3">
      <c r="A3" s="7" t="inlineStr"/>
      <c r="B3" s="7" t="inlineStr"/>
      <c r="C3" s="7" t="inlineStr">
        <is>
          <t>Thành viên</t>
        </is>
      </c>
      <c r="D3" s="7" t="inlineStr">
        <is>
          <t>Web nhân viên + quản trị</t>
        </is>
      </c>
    </row>
    <row r="4">
      <c r="A4" s="7" t="inlineStr"/>
      <c r="B4" s="7" t="inlineStr"/>
      <c r="C4" s="7" t="inlineStr">
        <is>
          <t>Thành viên</t>
        </is>
      </c>
      <c r="D4" s="7" t="inlineStr">
        <is>
          <t>PWA người nhà + thông báo</t>
        </is>
      </c>
    </row>
    <row r="5">
      <c r="A5" s="7" t="inlineStr"/>
      <c r="B5" s="7" t="inlineStr"/>
      <c r="C5" s="7" t="inlineStr">
        <is>
          <t>Thành viên</t>
        </is>
      </c>
      <c r="D5" s="7" t="inlineStr">
        <is>
          <t>Kiểm thử + tài liệu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2026-10-16T14:26:05Z</dcterms:created>
  <dcterms:modified xmlns:dcterms="http://purl.org/dc/terms/" xmlns:xsi="http://www.w3.org/2001/XMLSchema-instance" xsi:type="dcterms:W3CDTF">2026-10-16T14:26:05Z</dcterms:modified>
</cp:coreProperties>
</file>